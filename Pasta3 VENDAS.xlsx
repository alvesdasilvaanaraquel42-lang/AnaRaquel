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027B5360-8812-4BD1-A238-CB9245D80B87}" xr6:coauthVersionLast="47" xr6:coauthVersionMax="47" xr10:uidLastSave="{00000000-0000-0000-0000-000000000000}"/>
  <bookViews>
    <workbookView xWindow="14775" yWindow="150" windowWidth="13875" windowHeight="13440" xr2:uid="{A1AC79AB-1354-471D-AD10-18A3A9BB1990}"/>
  </bookViews>
  <sheets>
    <sheet name="VENDAS" sheetId="1" r:id="rId1"/>
    <sheet name="RELATÓ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E15" i="2"/>
  <c r="E5" i="2"/>
  <c r="E17" i="2"/>
  <c r="E14" i="2"/>
  <c r="E8" i="2"/>
  <c r="E16" i="2"/>
  <c r="E10" i="2"/>
  <c r="E2" i="2"/>
  <c r="E4" i="2"/>
  <c r="B9" i="2"/>
  <c r="B8" i="2"/>
  <c r="B7" i="2"/>
  <c r="B4" i="2"/>
  <c r="B3" i="2"/>
  <c r="B2" i="2"/>
  <c r="B10" i="2" l="1"/>
  <c r="E3" i="2"/>
  <c r="E9" i="2"/>
  <c r="E11" i="2"/>
</calcChain>
</file>

<file path=xl/sharedStrings.xml><?xml version="1.0" encoding="utf-8"?>
<sst xmlns="http://schemas.openxmlformats.org/spreadsheetml/2006/main" count="74" uniqueCount="47">
  <si>
    <t>Valor do Prêmio</t>
  </si>
  <si>
    <t>Meta:</t>
  </si>
  <si>
    <t>###########</t>
  </si>
  <si>
    <t>VENDEDOR</t>
  </si>
  <si>
    <t>DEPARTAMENTO</t>
  </si>
  <si>
    <t>VALOR DA VENDA (R$)</t>
  </si>
  <si>
    <t>COLOCAÇÃO</t>
  </si>
  <si>
    <t>VALOR DO PRÊMIO</t>
  </si>
  <si>
    <t>CONCEIRO</t>
  </si>
  <si>
    <t>PRÊMIO EXTRA</t>
  </si>
  <si>
    <t>Máximo Queiroz</t>
  </si>
  <si>
    <t>Maria Amélia Gouveia</t>
  </si>
  <si>
    <t>Fernando Augusto Martinez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</si>
  <si>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</si>
  <si>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</si>
  <si>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</si>
  <si>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</si>
  <si>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</si>
  <si>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</si>
  <si>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Mangiolli</t>
  </si>
  <si>
    <t>Marli Vieira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</si>
  <si>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</si>
  <si>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</si>
  <si>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</si>
  <si>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</si>
  <si>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</si>
  <si>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</si>
  <si>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</si>
  <si>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</si>
  <si>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</si>
  <si>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USADOS</t>
  </si>
  <si>
    <t>ZERO KM</t>
  </si>
  <si>
    <t>ISENÇÕES</t>
  </si>
  <si>
    <t>VENDAS</t>
  </si>
  <si>
    <t>Maior</t>
  </si>
  <si>
    <t>Total Vendedores</t>
  </si>
  <si>
    <t>Menor</t>
  </si>
  <si>
    <t>Média</t>
  </si>
  <si>
    <t>NÚMERO DE VENDAS</t>
  </si>
  <si>
    <t>Ganhadores</t>
  </si>
  <si>
    <t>Média de Vendas Total</t>
  </si>
  <si>
    <t>Média de Vendas dos Não Ganhadores</t>
  </si>
  <si>
    <t>Total de Vendedores</t>
  </si>
  <si>
    <t>Total</t>
  </si>
  <si>
    <t>Não efetuaram vendas</t>
  </si>
  <si>
    <t>Efetuaram vendas</t>
  </si>
  <si>
    <t>Ganhadores do prêmio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</si>
</sst>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44" fontId="4" fillId="0" borderId="0" xfId="1" applyFont="1"/>
    <xf numFmtId="0" fontId="0" fillId="0" borderId="1" xfId="0" applyBorder="1"/>
    <xf numFmtId="164" fontId="0" fillId="0" borderId="1" xfId="1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7EFD-CC30-448E-9DD4-26EB17EBD666}">
  <dimension ref="A1:G22"/>
  <sheetViews>
    <sheetView tabSelected="1" topLeftCell="C1" workbookViewId="0">
      <selection activeCell="F3" sqref="F3"/>
    </sheetView>
  </sheetViews>
  <sheetFormatPr defaultRowHeight="15" x14ac:dyDescent="0.25"/>
  <cols>
    <col min="1" max="1" width="26.7109375" customWidth="1"/>
    <col min="2" max="2" width="16.85546875" customWidth="1"/>
    <col min="3" max="3" width="19" customWidth="1"/>
    <col min="4" max="7" width="14.7109375" customWidth="1"/>
  </cols>
  <sheetData>
    <row r="1" spans="1:7" ht="23.25" x14ac:dyDescent="0.35">
      <c r="A1" s="1" t="s">
        <v>0</v>
      </c>
      <c r="B1" s="2">
        <v>50000</v>
      </c>
      <c r="C1" s="1" t="s">
        <v>1</v>
      </c>
      <c r="D1" t="s">
        <v>2</v>
      </c>
    </row>
    <row r="2" spans="1:7" ht="30" x14ac:dyDescent="0.25">
      <c r="A2" s="5" t="s">
        <v>3</v>
      </c>
      <c r="B2" s="5" t="s">
        <v>4</v>
      </c>
      <c r="C2" s="6" t="s">
        <v>5</v>
      </c>
      <c r="D2" s="5" t="s">
        <v>6</v>
      </c>
      <c r="E2" s="6" t="s">
        <v>7</v>
      </c>
      <c r="F2" s="5" t="s">
        <v>8</v>
      </c>
      <c r="G2" s="5" t="s">
        <v>9</v>
      </c>
    </row>
    <row r="3" spans="1:7" x14ac:dyDescent="0.25">
      <c r="A3" s="3" t="s">
        <v>10</v>
      </c>
      <c r="B3" s="3" t="s">
        <v>30</v>
      </c>
      <c r="C3" s="4">
        <v>100000</v>
      </c>
      <c r="D3" s="8">
        <f>IFERROR(_xlfn.RANK.EQ(C3,C$3:C$22),"")</f>
        <v>12</v>
      </c>
      <c r="E3" s="3">
        <f>IF(D3=1,B$1/RELATÓRIO!B$10,0)</f>
        <v>0</v>
      </c>
      <c r="F3" s="3"/>
      <c r="G3" s="3"/>
    </row>
    <row r="4" spans="1:7" x14ac:dyDescent="0.25">
      <c r="A4" s="3" t="s">
        <v>11</v>
      </c>
      <c r="B4" s="3" t="s">
        <v>31</v>
      </c>
      <c r="C4" s="4">
        <v>134600</v>
      </c>
      <c r="D4" s="8">
        <f t="shared" ref="D4:D22" si="0">IFERROR(_xlfn.RANK.EQ(C4,C$3:C$22),"")</f>
        <v>6</v>
      </c>
      <c r="E4" s="3">
        <f>IF(D4=1,B$1/RELATÓRIO!B$10,0)</f>
        <v>0</v>
      </c>
      <c r="F4" s="3"/>
      <c r="G4" s="3"/>
    </row>
    <row r="5" spans="1:7" x14ac:dyDescent="0.25">
      <c r="A5" s="3" t="s">
        <v>12</v>
      </c>
      <c r="B5" s="3" t="s">
        <v>32</v>
      </c>
      <c r="C5" s="4">
        <v>50000</v>
      </c>
      <c r="D5" s="8">
        <f t="shared" si="0"/>
        <v>17</v>
      </c>
      <c r="E5" s="3">
        <f>IF(D5=1,B$1/RELATÓRIO!B$10,0)</f>
        <v>0</v>
      </c>
      <c r="F5" s="3"/>
      <c r="G5" s="3"/>
    </row>
    <row r="6" spans="1:7" x14ac:dyDescent="0.25">
      <c r="A6" s="3" t="s">
        <v>13</v>
      </c>
      <c r="B6" s="3" t="s">
        <v>31</v>
      </c>
      <c r="C6" s="4">
        <v>130000</v>
      </c>
      <c r="D6" s="8">
        <f t="shared" si="0"/>
        <v>8</v>
      </c>
      <c r="E6" s="3">
        <f>IF(D6=1,B$1/RELATÓRIO!B$10,0)</f>
        <v>0</v>
      </c>
      <c r="F6" s="3"/>
      <c r="G6" s="3"/>
    </row>
    <row r="7" spans="1:7" x14ac:dyDescent="0.25">
      <c r="A7" s="3" t="s">
        <v>14</v>
      </c>
      <c r="B7" s="3" t="s">
        <v>31</v>
      </c>
      <c r="C7" s="4">
        <v>90870</v>
      </c>
      <c r="D7" s="8">
        <f t="shared" si="0"/>
        <v>13</v>
      </c>
      <c r="E7" s="3">
        <f>IF(D7=1,B$1/RELATÓRIO!B$10,0)</f>
        <v>0</v>
      </c>
      <c r="F7" s="3"/>
      <c r="G7" s="3"/>
    </row>
    <row r="8" spans="1:7" x14ac:dyDescent="0.25">
      <c r="A8" s="3" t="s">
        <v>15</v>
      </c>
      <c r="B8" s="3" t="s">
        <v>30</v>
      </c>
      <c r="C8" s="4">
        <v>67800</v>
      </c>
      <c r="D8" s="8">
        <f t="shared" si="0"/>
        <v>16</v>
      </c>
      <c r="E8" s="3">
        <f>IF(D8=1,B$1/RELATÓRIO!B$10,0)</f>
        <v>0</v>
      </c>
      <c r="F8" s="3"/>
      <c r="G8" s="3"/>
    </row>
    <row r="9" spans="1:7" x14ac:dyDescent="0.25">
      <c r="A9" s="3" t="s">
        <v>16</v>
      </c>
      <c r="B9" s="3" t="s">
        <v>30</v>
      </c>
      <c r="C9" s="4">
        <v>45000</v>
      </c>
      <c r="D9" s="8">
        <f t="shared" si="0"/>
        <v>18</v>
      </c>
      <c r="E9" s="3">
        <f>IF(D9=1,B$1/RELATÓRIO!B$10,0)</f>
        <v>0</v>
      </c>
      <c r="F9" s="3"/>
      <c r="G9" s="3"/>
    </row>
    <row r="10" spans="1:7" x14ac:dyDescent="0.25">
      <c r="A10" s="3" t="s">
        <v>17</v>
      </c>
      <c r="B10" s="3" t="s">
        <v>30</v>
      </c>
      <c r="C10" s="4">
        <v>137000</v>
      </c>
      <c r="D10" s="8">
        <f t="shared" si="0"/>
        <v>5</v>
      </c>
      <c r="E10" s="3">
        <f>IF(D10=1,B$1/RELATÓRIO!B$10,0)</f>
        <v>0</v>
      </c>
      <c r="F10" s="3"/>
      <c r="G10" s="3"/>
    </row>
    <row r="11" spans="1:7" x14ac:dyDescent="0.25">
      <c r="A11" s="3" t="s">
        <v>18</v>
      </c>
      <c r="B11" s="3" t="s">
        <v>32</v>
      </c>
      <c r="C11" s="4">
        <v>23000</v>
      </c>
      <c r="D11" s="8">
        <f t="shared" si="0"/>
        <v>19</v>
      </c>
      <c r="E11" s="3">
        <f>IF(D11=1,B$1/RELATÓRIO!B$10,0)</f>
        <v>0</v>
      </c>
      <c r="F11" s="3"/>
      <c r="G11" s="3"/>
    </row>
    <row r="12" spans="1:7" x14ac:dyDescent="0.25">
      <c r="A12" s="3" t="s">
        <v>19</v>
      </c>
      <c r="B12" s="3" t="s">
        <v>31</v>
      </c>
      <c r="C12" s="4">
        <v>149000</v>
      </c>
      <c r="D12" s="8">
        <f t="shared" si="0"/>
        <v>3</v>
      </c>
      <c r="E12" s="3">
        <f>IF(D12=1,B$1/RELATÓRIO!B$10,0)</f>
        <v>0</v>
      </c>
      <c r="F12" s="3"/>
      <c r="G12" s="3"/>
    </row>
    <row r="13" spans="1:7" x14ac:dyDescent="0.25">
      <c r="A13" s="3" t="s">
        <v>20</v>
      </c>
      <c r="B13" s="3" t="s">
        <v>32</v>
      </c>
      <c r="C13" s="4">
        <v>134000</v>
      </c>
      <c r="D13" s="8">
        <f t="shared" si="0"/>
        <v>7</v>
      </c>
      <c r="E13" s="3">
        <f>IF(D13=1,B$1/RELATÓRIO!B$10,0)</f>
        <v>0</v>
      </c>
      <c r="F13" s="3"/>
      <c r="G13" s="3"/>
    </row>
    <row r="14" spans="1:7" x14ac:dyDescent="0.25">
      <c r="A14" s="3" t="s">
        <v>21</v>
      </c>
      <c r="B14" s="3" t="s">
        <v>30</v>
      </c>
      <c r="C14" s="4">
        <v>123000</v>
      </c>
      <c r="D14" s="8">
        <f t="shared" si="0"/>
        <v>9</v>
      </c>
      <c r="E14" s="3">
        <f>IF(D14=1,B$1/RELATÓRIO!B$10,0)</f>
        <v>0</v>
      </c>
      <c r="F14" s="3"/>
      <c r="G14" s="3"/>
    </row>
    <row r="15" spans="1:7" x14ac:dyDescent="0.25">
      <c r="A15" s="3" t="s">
        <v>22</v>
      </c>
      <c r="B15" s="3" t="s">
        <v>31</v>
      </c>
      <c r="C15" s="4">
        <v>150000</v>
      </c>
      <c r="D15" s="8">
        <f t="shared" si="0"/>
        <v>1</v>
      </c>
      <c r="E15" s="3">
        <f>IF(D15=1,B$1/RELATÓRIO!B$10,0)</f>
        <v>25000</v>
      </c>
      <c r="F15" s="3"/>
      <c r="G15" s="3"/>
    </row>
    <row r="16" spans="1:7" x14ac:dyDescent="0.25">
      <c r="A16" s="3" t="s">
        <v>23</v>
      </c>
      <c r="B16" s="3" t="s">
        <v>32</v>
      </c>
      <c r="C16" s="4">
        <v>150000</v>
      </c>
      <c r="D16" s="8">
        <f t="shared" si="0"/>
        <v>1</v>
      </c>
      <c r="E16" s="3">
        <f>IF(D16=1,B$1/RELATÓRIO!B$10,0)</f>
        <v>25000</v>
      </c>
      <c r="F16" s="3"/>
      <c r="G16" s="3"/>
    </row>
    <row r="17" spans="1:7" x14ac:dyDescent="0.25">
      <c r="A17" s="3" t="s">
        <v>24</v>
      </c>
      <c r="B17" s="3" t="s">
        <v>32</v>
      </c>
      <c r="C17" s="4"/>
      <c r="D17" s="8" t="str">
        <f t="shared" si="0"/>
        <v/>
      </c>
      <c r="E17" s="3">
        <f>IF(D17=1,B$1/RELATÓRIO!B$10,0)</f>
        <v>0</v>
      </c>
      <c r="F17" s="3"/>
      <c r="G17" s="3"/>
    </row>
    <row r="18" spans="1:7" x14ac:dyDescent="0.25">
      <c r="A18" s="3" t="s">
        <v>25</v>
      </c>
      <c r="B18" s="3" t="s">
        <v>30</v>
      </c>
      <c r="C18" s="4">
        <v>120000</v>
      </c>
      <c r="D18" s="8">
        <f t="shared" si="0"/>
        <v>11</v>
      </c>
      <c r="E18" s="3">
        <f>IF(D18=1,B$1/RELATÓRIO!B$10,0)</f>
        <v>0</v>
      </c>
      <c r="F18" s="3"/>
      <c r="G18" s="3"/>
    </row>
    <row r="19" spans="1:7" x14ac:dyDescent="0.25">
      <c r="A19" s="3" t="s">
        <v>26</v>
      </c>
      <c r="B19" s="3" t="s">
        <v>31</v>
      </c>
      <c r="C19" s="4">
        <v>87900</v>
      </c>
      <c r="D19" s="8">
        <f t="shared" si="0"/>
        <v>14</v>
      </c>
      <c r="E19" s="3">
        <f>IF(D19=1,B$1/RELATÓRIO!B$10,0)</f>
        <v>0</v>
      </c>
      <c r="F19" s="3"/>
      <c r="G19" s="3"/>
    </row>
    <row r="20" spans="1:7" x14ac:dyDescent="0.25">
      <c r="A20" s="3" t="s">
        <v>27</v>
      </c>
      <c r="B20" s="3" t="s">
        <v>31</v>
      </c>
      <c r="C20" s="4">
        <v>123000</v>
      </c>
      <c r="D20" s="8">
        <f t="shared" si="0"/>
        <v>9</v>
      </c>
      <c r="E20" s="3">
        <f>IF(D20=1,B$1/RELATÓRIO!B$10,0)</f>
        <v>0</v>
      </c>
      <c r="F20" s="3"/>
      <c r="G20" s="3"/>
    </row>
    <row r="21" spans="1:7" x14ac:dyDescent="0.25">
      <c r="A21" s="3" t="s">
        <v>28</v>
      </c>
      <c r="B21" s="3" t="s">
        <v>30</v>
      </c>
      <c r="C21" s="4">
        <v>76900</v>
      </c>
      <c r="D21" s="8">
        <f t="shared" si="0"/>
        <v>15</v>
      </c>
      <c r="E21" s="3">
        <f>IF(D21=1,B$1/RELATÓRIO!B$10,0)</f>
        <v>0</v>
      </c>
      <c r="F21" s="3"/>
      <c r="G21" s="3"/>
    </row>
    <row r="22" spans="1:7" x14ac:dyDescent="0.25">
      <c r="A22" s="3" t="s">
        <v>29</v>
      </c>
      <c r="B22" s="3" t="s">
        <v>30</v>
      </c>
      <c r="C22" s="4">
        <v>143000</v>
      </c>
      <c r="D22" s="8">
        <f t="shared" si="0"/>
        <v>4</v>
      </c>
      <c r="E22" s="3">
        <f>IF(D22=1,B$1/RELATÓRIO!B$10,0)</f>
        <v>0</v>
      </c>
      <c r="F22" s="3"/>
      <c r="G22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C090-D8FB-4ABF-BABD-D37BAEC7211E}">
  <dimension ref="A1:E17"/>
  <sheetViews>
    <sheetView workbookViewId="0">
      <selection activeCell="F6" sqref="F6"/>
    </sheetView>
  </sheetViews>
  <sheetFormatPr defaultRowHeight="15" x14ac:dyDescent="0.25"/>
  <cols>
    <col min="1" max="1" width="22" customWidth="1"/>
    <col min="2" max="2" width="16.5703125" customWidth="1"/>
    <col min="4" max="4" width="35.28515625" customWidth="1"/>
    <col min="5" max="5" width="14.28515625" customWidth="1"/>
  </cols>
  <sheetData>
    <row r="1" spans="1:5" ht="15.75" x14ac:dyDescent="0.25">
      <c r="A1" s="9" t="s">
        <v>33</v>
      </c>
      <c r="B1" s="9"/>
      <c r="D1" s="9" t="s">
        <v>30</v>
      </c>
      <c r="E1" s="9"/>
    </row>
    <row r="2" spans="1:5" x14ac:dyDescent="0.25">
      <c r="A2" s="3" t="s">
        <v>34</v>
      </c>
      <c r="B2" s="7">
        <f>MAX(VENDAS!C3:C22)</f>
        <v>150000</v>
      </c>
      <c r="D2" s="3" t="s">
        <v>35</v>
      </c>
      <c r="E2" s="3">
        <f>COUNTIF(VENDAS!B$3:B$22,"usados")</f>
        <v>8</v>
      </c>
    </row>
    <row r="3" spans="1:5" x14ac:dyDescent="0.25">
      <c r="A3" s="3" t="s">
        <v>36</v>
      </c>
      <c r="B3" s="7">
        <f>MIN(VENDAS!C3:C22)</f>
        <v>23000</v>
      </c>
      <c r="D3" s="3" t="s">
        <v>39</v>
      </c>
      <c r="E3" s="3">
        <f>COUNTIFS(VENDAS!B$3:B$22,"usados",VENDAS!D$3:D$22,1)</f>
        <v>0</v>
      </c>
    </row>
    <row r="4" spans="1:5" x14ac:dyDescent="0.25">
      <c r="A4" s="3" t="s">
        <v>37</v>
      </c>
      <c r="B4" s="7">
        <f>AVERAGE(VENDAS!C3:C22)</f>
        <v>107108.94736842105</v>
      </c>
      <c r="D4" s="3" t="s">
        <v>40</v>
      </c>
      <c r="E4" s="7">
        <f>AVERAGEIF(VENDAS!B$3:B$22,RELATÓRIO!D1,VENDAS!C$3:C$22)</f>
        <v>101587.5</v>
      </c>
    </row>
    <row r="5" spans="1:5" x14ac:dyDescent="0.25">
      <c r="D5" s="3" t="s">
        <v>41</v>
      </c>
      <c r="E5" s="7">
        <f>AVERAGEIFS(VENDAS!C$3:C$22,VENDAS!B$3:B$22,RELATÓRIO!D1,VENDAS!D$3:D$22,"&lt;&gt;1")</f>
        <v>101587.5</v>
      </c>
    </row>
    <row r="6" spans="1:5" ht="15.75" x14ac:dyDescent="0.25">
      <c r="A6" s="9" t="s">
        <v>38</v>
      </c>
      <c r="B6" s="9"/>
    </row>
    <row r="7" spans="1:5" ht="15.75" x14ac:dyDescent="0.25">
      <c r="A7" s="3" t="s">
        <v>43</v>
      </c>
      <c r="B7" s="3">
        <f>COUNTA(VENDAS!A3:A22)</f>
        <v>20</v>
      </c>
      <c r="D7" s="9" t="s">
        <v>31</v>
      </c>
      <c r="E7" s="9"/>
    </row>
    <row r="8" spans="1:5" x14ac:dyDescent="0.25">
      <c r="A8" s="3" t="s">
        <v>44</v>
      </c>
      <c r="B8" s="3">
        <f>COUNTBLANK(VENDAS!C3:C22)</f>
        <v>1</v>
      </c>
      <c r="D8" s="3" t="s">
        <v>42</v>
      </c>
      <c r="E8" s="3">
        <f>COUNTIF(VENDAS!B$3:B$22,D7)</f>
        <v>7</v>
      </c>
    </row>
    <row r="9" spans="1:5" x14ac:dyDescent="0.25">
      <c r="A9" s="3" t="s">
        <v>45</v>
      </c>
      <c r="B9" s="3">
        <f>COUNT(VENDAS!C3:C22)</f>
        <v>19</v>
      </c>
      <c r="D9" s="3" t="s">
        <v>39</v>
      </c>
      <c r="E9" s="3">
        <f>COUNTIFS(VENDAS!B$3:B$22,D7,VENDAS!D$3:D$22,1)</f>
        <v>1</v>
      </c>
    </row>
    <row r="10" spans="1:5" x14ac:dyDescent="0.25">
      <c r="A10" s="3" t="s">
        <v>46</v>
      </c>
      <c r="B10" s="3">
        <f>COUNTIF(VENDAS!D3:D22,1)</f>
        <v>2</v>
      </c>
      <c r="D10" s="3" t="s">
        <v>40</v>
      </c>
      <c r="E10" s="7">
        <f>AVERAGEIF(VENDAS!B$3:B$22,RELATÓRIO!D7,VENDAS!C$3:C$22)</f>
        <v>123624.28571428571</v>
      </c>
    </row>
    <row r="11" spans="1:5" x14ac:dyDescent="0.25">
      <c r="D11" s="3" t="s">
        <v>41</v>
      </c>
      <c r="E11" s="7">
        <f>AVERAGEIFS(VENDAS!C$3:C$22,VENDAS!B$3:B$22,RELATÓRIO!D7,VENDAS!D$3:D$22,"&lt;&gt;1")</f>
        <v>119228.33333333333</v>
      </c>
    </row>
    <row r="13" spans="1:5" ht="15.75" x14ac:dyDescent="0.25">
      <c r="D13" s="9" t="s">
        <v>32</v>
      </c>
      <c r="E13" s="9"/>
    </row>
    <row r="14" spans="1:5" x14ac:dyDescent="0.25">
      <c r="D14" s="3" t="s">
        <v>42</v>
      </c>
      <c r="E14" s="3">
        <f>COUNTIF(VENDAS!B$3:B$22,D13)</f>
        <v>5</v>
      </c>
    </row>
    <row r="15" spans="1:5" x14ac:dyDescent="0.25">
      <c r="D15" s="3" t="s">
        <v>39</v>
      </c>
      <c r="E15" s="3">
        <f>COUNTIFS(VENDAS!B$3:B$22,D13,VENDAS!D$3:D$22,1)</f>
        <v>1</v>
      </c>
    </row>
    <row r="16" spans="1:5" x14ac:dyDescent="0.25">
      <c r="D16" s="3" t="s">
        <v>40</v>
      </c>
      <c r="E16" s="7">
        <f>AVERAGEIF(VENDAS!B$3:B$22,RELATÓRIO!D13,VENDAS!C$3:C$22)</f>
        <v>89250</v>
      </c>
    </row>
    <row r="17" spans="4:5" x14ac:dyDescent="0.25">
      <c r="D17" s="3" t="s">
        <v>41</v>
      </c>
      <c r="E17" s="7">
        <f>AVERAGEIFS(VENDAS!C$3:C$22,VENDAS!B$3:B$22,RELATÓRIO!D13,VENDAS!D$3:D$22,"&lt;&gt;1")</f>
        <v>69000</v>
      </c>
    </row>
  </sheetData>
  <mergeCells count="5">
    <mergeCell ref="A1:B1"/>
    <mergeCell ref="D1:E1"/>
    <mergeCell ref="A6:B6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2026-03-31T17:51:37Z</dcterms:created>
  <dcterms:modified xsi:type="dcterms:W3CDTF">2026-04-01T16:20:16Z</dcterms:modified>
</cp:coreProperties>
</file>