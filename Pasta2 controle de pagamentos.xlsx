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1D020802-5936-4079-B6C7-B9B2E644D171}" xr6:coauthVersionLast="47" xr6:coauthVersionMax="47" xr10:uidLastSave="{00000000-0000-0000-0000-000000000000}"/>
  <bookViews>
    <workbookView xWindow="13920" yWindow="1605" windowWidth="13290" windowHeight="13440" xr2:uid="{264F28A4-D76B-44F5-BA0D-60D0C24F7283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6" i="1"/>
  <c r="F7" i="1"/>
  <c r="F8" i="1"/>
  <c r="F9" i="1"/>
  <c r="F10" i="1"/>
  <c r="F11" i="1"/>
  <c r="F12" i="1"/>
  <c r="F13" i="1"/>
  <c r="F14" i="1"/>
  <c r="F15" i="1"/>
  <c r="F16" i="1"/>
  <c r="F6" i="1"/>
</calcChain>
</file>

<file path=xl/sharedStrings.xml><?xml version="1.0" encoding="utf-8"?>
<sst xmlns="http://schemas.openxmlformats.org/spreadsheetml/2006/main" count="32" uniqueCount="15">
  <si>
    <t>ZAP S/A - CONTROLE DE PAGAMENTOS ÀS EMPRESAS TERCEIRIZADAS</t>
  </si>
  <si>
    <t>PERÍODO: 01/01/2013 A 31/07/2013</t>
  </si>
  <si>
    <t>VALOR/HORA:</t>
  </si>
  <si>
    <t>EMPRESA</t>
  </si>
  <si>
    <t>ÁREA</t>
  </si>
  <si>
    <t>DATA ÍNICIO CONTRATO</t>
  </si>
  <si>
    <t>DATA TÉRMINO CONTRATO</t>
  </si>
  <si>
    <t>CARGA HORÁRIA DIÁRIA</t>
  </si>
  <si>
    <t>DIAS ÚTEIS</t>
  </si>
  <si>
    <t>VALOR DO CONTRATO</t>
  </si>
  <si>
    <t>ADM MÃO DE OBRA</t>
  </si>
  <si>
    <t>CONTÁBIL TOTAL</t>
  </si>
  <si>
    <t>LUCAS BROS</t>
  </si>
  <si>
    <t>Administrativa</t>
  </si>
  <si>
    <t>Contabilidade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</si>
</sst>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3" fillId="0" borderId="0" xfId="0" applyFont="1"/>
    <xf numFmtId="44" fontId="3" fillId="0" borderId="0" xfId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4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8B8F-EE44-4F93-B3BD-0E9761DFC0D8}">
  <dimension ref="A1:G16"/>
  <sheetViews>
    <sheetView tabSelected="1" workbookViewId="0">
      <selection activeCell="E6" sqref="E6:F16"/>
    </sheetView>
  </sheetViews>
  <sheetFormatPr defaultRowHeight="15" x14ac:dyDescent="0.25"/>
  <cols>
    <col min="1" max="4" width="19.42578125" customWidth="1"/>
    <col min="5" max="5" width="17.28515625" customWidth="1"/>
    <col min="6" max="6" width="14.85546875" customWidth="1"/>
    <col min="7" max="7" width="19.42578125" customWidth="1"/>
  </cols>
  <sheetData>
    <row r="1" spans="1:7" ht="26.25" x14ac:dyDescent="0.4">
      <c r="A1" s="8" t="s">
        <v>0</v>
      </c>
      <c r="B1" s="8"/>
      <c r="C1" s="8"/>
      <c r="D1" s="8"/>
      <c r="E1" s="8"/>
      <c r="F1" s="8"/>
      <c r="G1" s="8"/>
    </row>
    <row r="2" spans="1:7" ht="21" x14ac:dyDescent="0.35">
      <c r="A2" s="9" t="s">
        <v>1</v>
      </c>
      <c r="B2" s="9"/>
      <c r="C2" s="9"/>
      <c r="D2" s="9"/>
      <c r="E2" s="9"/>
      <c r="F2" s="9"/>
      <c r="G2" s="9"/>
    </row>
    <row r="3" spans="1:7" ht="15.75" x14ac:dyDescent="0.25">
      <c r="A3" s="6" t="s">
        <v>2</v>
      </c>
      <c r="B3" s="7">
        <v>55</v>
      </c>
    </row>
    <row r="5" spans="1:7" ht="32.25" customHeight="1" x14ac:dyDescent="0.25">
      <c r="A5" s="2" t="s">
        <v>3</v>
      </c>
      <c r="B5" s="2" t="s">
        <v>4</v>
      </c>
      <c r="C5" s="3" t="s">
        <v>5</v>
      </c>
      <c r="D5" s="3" t="s">
        <v>6</v>
      </c>
      <c r="E5" s="3" t="s">
        <v>7</v>
      </c>
      <c r="F5" s="2" t="s">
        <v>8</v>
      </c>
      <c r="G5" s="3" t="s">
        <v>9</v>
      </c>
    </row>
    <row r="6" spans="1:7" x14ac:dyDescent="0.25">
      <c r="A6" s="4" t="s">
        <v>10</v>
      </c>
      <c r="B6" s="4" t="s">
        <v>13</v>
      </c>
      <c r="C6" s="5">
        <v>41275</v>
      </c>
      <c r="D6" s="5">
        <v>41332</v>
      </c>
      <c r="E6" s="11">
        <v>6</v>
      </c>
      <c r="F6" s="11">
        <f>NETWORKDAYS.INTL(C6,D6,11,Planilha2!A:A)</f>
        <v>47</v>
      </c>
      <c r="G6" s="10">
        <f>E6*F6*B$3</f>
        <v>15510</v>
      </c>
    </row>
    <row r="7" spans="1:7" x14ac:dyDescent="0.25">
      <c r="A7" s="4" t="s">
        <v>11</v>
      </c>
      <c r="B7" s="4" t="s">
        <v>14</v>
      </c>
      <c r="C7" s="5">
        <v>41284</v>
      </c>
      <c r="D7" s="5">
        <v>41318</v>
      </c>
      <c r="E7" s="11">
        <v>6</v>
      </c>
      <c r="F7" s="11">
        <f>NETWORKDAYS.INTL(C7,D7,11,Planilha2!A:A)</f>
        <v>28</v>
      </c>
      <c r="G7" s="10">
        <f t="shared" ref="G7:G16" si="0">E7*F7*B$3</f>
        <v>9240</v>
      </c>
    </row>
    <row r="8" spans="1:7" x14ac:dyDescent="0.25">
      <c r="A8" s="4" t="s">
        <v>12</v>
      </c>
      <c r="B8" s="4" t="s">
        <v>13</v>
      </c>
      <c r="C8" s="5">
        <v>41336</v>
      </c>
      <c r="D8" s="5">
        <v>41374</v>
      </c>
      <c r="E8" s="11">
        <v>8</v>
      </c>
      <c r="F8" s="11">
        <f>NETWORKDAYS.INTL(C8,D8,11,Planilha2!A:A)</f>
        <v>32</v>
      </c>
      <c r="G8" s="10">
        <f t="shared" si="0"/>
        <v>14080</v>
      </c>
    </row>
    <row r="9" spans="1:7" x14ac:dyDescent="0.25">
      <c r="A9" s="4" t="s">
        <v>11</v>
      </c>
      <c r="B9" s="4" t="s">
        <v>14</v>
      </c>
      <c r="C9" s="5">
        <v>41353</v>
      </c>
      <c r="D9" s="5">
        <v>41379</v>
      </c>
      <c r="E9" s="11">
        <v>4</v>
      </c>
      <c r="F9" s="11">
        <f>NETWORKDAYS.INTL(C9,D9,11,Planilha2!A:A)</f>
        <v>22</v>
      </c>
      <c r="G9" s="10">
        <f t="shared" si="0"/>
        <v>4840</v>
      </c>
    </row>
    <row r="10" spans="1:7" x14ac:dyDescent="0.25">
      <c r="A10" s="4" t="s">
        <v>12</v>
      </c>
      <c r="B10" s="4" t="s">
        <v>14</v>
      </c>
      <c r="C10" s="5">
        <v>41396</v>
      </c>
      <c r="D10" s="5">
        <v>41424</v>
      </c>
      <c r="E10" s="11">
        <v>4</v>
      </c>
      <c r="F10" s="11">
        <f>NETWORKDAYS.INTL(C10,D10,11,Planilha2!A:A)</f>
        <v>24</v>
      </c>
      <c r="G10" s="10">
        <f t="shared" si="0"/>
        <v>5280</v>
      </c>
    </row>
    <row r="11" spans="1:7" x14ac:dyDescent="0.25">
      <c r="A11" s="4" t="s">
        <v>10</v>
      </c>
      <c r="B11" s="4" t="s">
        <v>13</v>
      </c>
      <c r="C11" s="5">
        <v>41405</v>
      </c>
      <c r="D11" s="5">
        <v>41412</v>
      </c>
      <c r="E11" s="11">
        <v>6</v>
      </c>
      <c r="F11" s="11">
        <f>NETWORKDAYS.INTL(C11,D11,11,Planilha2!A:A)</f>
        <v>7</v>
      </c>
      <c r="G11" s="10">
        <f t="shared" si="0"/>
        <v>2310</v>
      </c>
    </row>
    <row r="12" spans="1:7" x14ac:dyDescent="0.25">
      <c r="A12" s="4" t="s">
        <v>10</v>
      </c>
      <c r="B12" s="4" t="s">
        <v>13</v>
      </c>
      <c r="C12" s="5">
        <v>41426</v>
      </c>
      <c r="D12" s="5">
        <v>41445</v>
      </c>
      <c r="E12" s="11">
        <v>8</v>
      </c>
      <c r="F12" s="11">
        <f>NETWORKDAYS.INTL(C12,D12,11,Planilha2!A:A)</f>
        <v>17</v>
      </c>
      <c r="G12" s="10">
        <f t="shared" si="0"/>
        <v>7480</v>
      </c>
    </row>
    <row r="13" spans="1:7" x14ac:dyDescent="0.25">
      <c r="A13" s="4" t="s">
        <v>12</v>
      </c>
      <c r="B13" s="4" t="s">
        <v>13</v>
      </c>
      <c r="C13" s="5">
        <v>41435</v>
      </c>
      <c r="D13" s="5">
        <v>41460</v>
      </c>
      <c r="E13" s="11">
        <v>6</v>
      </c>
      <c r="F13" s="11">
        <f>NETWORKDAYS.INTL(C13,D13,11,Planilha2!A:A)</f>
        <v>23</v>
      </c>
      <c r="G13" s="10">
        <f t="shared" si="0"/>
        <v>7590</v>
      </c>
    </row>
    <row r="14" spans="1:7" x14ac:dyDescent="0.25">
      <c r="A14" s="4" t="s">
        <v>11</v>
      </c>
      <c r="B14" s="4" t="s">
        <v>14</v>
      </c>
      <c r="C14" s="5">
        <v>41436</v>
      </c>
      <c r="D14" s="5">
        <v>41448</v>
      </c>
      <c r="E14" s="11">
        <v>4</v>
      </c>
      <c r="F14" s="11">
        <f>NETWORKDAYS.INTL(C14,D14,11,Planilha2!A:A)</f>
        <v>11</v>
      </c>
      <c r="G14" s="10">
        <f t="shared" si="0"/>
        <v>2420</v>
      </c>
    </row>
    <row r="15" spans="1:7" x14ac:dyDescent="0.25">
      <c r="A15" s="4" t="s">
        <v>12</v>
      </c>
      <c r="B15" s="4" t="s">
        <v>13</v>
      </c>
      <c r="C15" s="5">
        <v>41465</v>
      </c>
      <c r="D15" s="5">
        <v>41478</v>
      </c>
      <c r="E15" s="11">
        <v>4</v>
      </c>
      <c r="F15" s="11">
        <f>NETWORKDAYS.INTL(C15,D15,11,Planilha2!A:A)</f>
        <v>12</v>
      </c>
      <c r="G15" s="10">
        <f t="shared" si="0"/>
        <v>2640</v>
      </c>
    </row>
    <row r="16" spans="1:7" x14ac:dyDescent="0.25">
      <c r="A16" s="4" t="s">
        <v>10</v>
      </c>
      <c r="B16" s="4" t="s">
        <v>13</v>
      </c>
      <c r="C16" s="5">
        <v>41470</v>
      </c>
      <c r="D16" s="5">
        <v>41486</v>
      </c>
      <c r="E16" s="11">
        <v>8</v>
      </c>
      <c r="F16" s="11">
        <f>NETWORKDAYS.INTL(C16,D16,11,Planilha2!A:A)</f>
        <v>15</v>
      </c>
      <c r="G16" s="10">
        <f t="shared" si="0"/>
        <v>6600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5A6A-F92B-49DD-9EB9-36B52D372ED8}">
  <dimension ref="A1:A8"/>
  <sheetViews>
    <sheetView workbookViewId="0">
      <selection activeCell="D4" sqref="D4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>
        <v>41275</v>
      </c>
    </row>
    <row r="2" spans="1:1" x14ac:dyDescent="0.25">
      <c r="A2" s="1">
        <v>41299</v>
      </c>
    </row>
    <row r="3" spans="1:1" x14ac:dyDescent="0.25">
      <c r="A3" s="1">
        <v>41317</v>
      </c>
    </row>
    <row r="4" spans="1:1" x14ac:dyDescent="0.25">
      <c r="A4" s="1">
        <v>41362</v>
      </c>
    </row>
    <row r="5" spans="1:1" x14ac:dyDescent="0.25">
      <c r="A5" s="1">
        <v>41385</v>
      </c>
    </row>
    <row r="6" spans="1:1" x14ac:dyDescent="0.25">
      <c r="A6" s="1">
        <v>41395</v>
      </c>
    </row>
    <row r="7" spans="1:1" x14ac:dyDescent="0.25">
      <c r="A7" s="1">
        <v>41424</v>
      </c>
    </row>
    <row r="8" spans="1:1" x14ac:dyDescent="0.25">
      <c r="A8" s="1">
        <v>40733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2026-03-30T18:04:18Z</dcterms:created>
  <dcterms:modified xsi:type="dcterms:W3CDTF">2026-03-30T18:29:08Z</dcterms:modified>
</cp:coreProperties>
</file>