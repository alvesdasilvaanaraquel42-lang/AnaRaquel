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1F4F2983-6628-4A63-81B5-506C22B3B8AD}" xr6:coauthVersionLast="47" xr6:coauthVersionMax="47" xr10:uidLastSave="{00000000-0000-0000-0000-000000000000}"/>
  <bookViews>
    <workbookView xWindow="15225" yWindow="1245" windowWidth="13290" windowHeight="13440" xr2:uid="{D472D033-26B5-4FFE-AA7A-9D4B89486CD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F12" i="1"/>
  <c r="F11" i="1"/>
  <c r="C12" i="1" s="1"/>
  <c r="F1" i="1"/>
  <c r="F2" i="1" s="1"/>
  <c r="F13" i="1" l="1"/>
  <c r="F5" i="1"/>
  <c r="F4" i="1"/>
  <c r="F3" i="1"/>
  <c r="C14" i="1" l="1"/>
  <c r="F14" i="1" s="1"/>
  <c r="C15" i="1" s="1"/>
  <c r="F15" i="1" s="1"/>
  <c r="F16" i="1" l="1"/>
  <c r="C16" i="1"/>
  <c r="C17" i="1" l="1"/>
  <c r="F17" i="1" s="1"/>
  <c r="C18" i="1" s="1"/>
  <c r="F18" i="1" s="1"/>
  <c r="C19" i="1" s="1"/>
  <c r="F19" i="1" s="1"/>
  <c r="C20" i="1" s="1"/>
  <c r="F20" i="1" l="1"/>
  <c r="C21" i="1" s="1"/>
  <c r="F21" i="1" l="1"/>
  <c r="C22" i="1" s="1"/>
  <c r="F22" i="1" l="1"/>
  <c r="C23" i="1" s="1"/>
  <c r="F23" i="1" l="1"/>
  <c r="C24" i="1" s="1"/>
  <c r="F24" i="1" l="1"/>
  <c r="C25" i="1" s="1"/>
  <c r="F25" i="1" l="1"/>
  <c r="C26" i="1" s="1"/>
  <c r="F26" i="1" l="1"/>
  <c r="C27" i="1" s="1"/>
  <c r="F27" i="1" l="1"/>
  <c r="C28" i="1" s="1"/>
  <c r="F28" i="1" l="1"/>
  <c r="C29" i="1" s="1"/>
  <c r="F29" i="1" l="1"/>
  <c r="C30" i="1" s="1"/>
  <c r="F30" i="1" l="1"/>
  <c r="C31" i="1" s="1"/>
  <c r="F31" i="1" l="1"/>
  <c r="C32" i="1" s="1"/>
  <c r="F32" i="1" l="1"/>
  <c r="C33" i="1" s="1"/>
  <c r="F33" i="1" l="1"/>
  <c r="C34" i="1" s="1"/>
  <c r="F34" i="1" l="1"/>
</calcChain>
</file>

<file path=xl/sharedStrings.xml><?xml version="1.0" encoding="utf-8"?>
<sst xmlns="http://schemas.openxmlformats.org/spreadsheetml/2006/main" count="14" uniqueCount="14">
  <si>
    <t>DATA DE HOJE:</t>
  </si>
  <si>
    <t>DIA DE HOJE:</t>
  </si>
  <si>
    <t>NÚMERO DO MÊS DE HOJE:</t>
  </si>
  <si>
    <t>ANO DE HOJE:</t>
  </si>
  <si>
    <t>NÚMERO DO DIA DA SEMANA DE HOJE</t>
  </si>
  <si>
    <t>CONTROLE DO ESTOQUE DE VASSOURAS</t>
  </si>
  <si>
    <t>MÊS:</t>
  </si>
  <si>
    <t>DATA</t>
  </si>
  <si>
    <t>DIA DA SEMANA</t>
  </si>
  <si>
    <t>ESTOQUE ANTERIOR</t>
  </si>
  <si>
    <t>QUANTIDADE ENTRADA</t>
  </si>
  <si>
    <t>QUANTIDADE SAÍDA</t>
  </si>
  <si>
    <t>ESTOQUE DO DIA</t>
  </si>
  <si>
    <t>NENHUM 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</si>
</sst>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1" xfId="0" applyNumberFormat="1" applyBorder="1"/>
    <xf numFmtId="165" fontId="0" fillId="0" borderId="1" xfId="0" applyNumberFormat="1" applyBorder="1"/>
    <xf numFmtId="0" fontId="0" fillId="0" borderId="1" xfId="0" applyFill="1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9FF8-39C7-4151-8FA0-75753862367C}">
  <dimension ref="A1:F35"/>
  <sheetViews>
    <sheetView tabSelected="1" workbookViewId="0">
      <selection activeCell="B6" sqref="B1:B1048576"/>
    </sheetView>
  </sheetViews>
  <sheetFormatPr defaultRowHeight="15" x14ac:dyDescent="0.25"/>
  <cols>
    <col min="1" max="1" width="15.140625" customWidth="1"/>
    <col min="2" max="2" width="14.42578125" customWidth="1"/>
    <col min="3" max="7" width="13.42578125" customWidth="1"/>
  </cols>
  <sheetData>
    <row r="1" spans="1:6" x14ac:dyDescent="0.25">
      <c r="A1" s="1" t="s">
        <v>0</v>
      </c>
      <c r="B1" s="1"/>
      <c r="C1" s="1"/>
      <c r="D1" s="1"/>
      <c r="E1" s="1"/>
      <c r="F1" s="7">
        <f ca="1">TODAY()</f>
        <v>46111</v>
      </c>
    </row>
    <row r="2" spans="1:6" x14ac:dyDescent="0.25">
      <c r="A2" s="1" t="s">
        <v>1</v>
      </c>
      <c r="B2" s="1"/>
      <c r="C2" s="1"/>
      <c r="D2" s="1"/>
      <c r="E2" s="1"/>
      <c r="F2">
        <f ca="1">DAY(F1)</f>
        <v>30</v>
      </c>
    </row>
    <row r="3" spans="1:6" x14ac:dyDescent="0.25">
      <c r="A3" s="1" t="s">
        <v>2</v>
      </c>
      <c r="B3" s="1"/>
      <c r="C3" s="1"/>
      <c r="D3" s="1"/>
      <c r="E3" s="1"/>
      <c r="F3">
        <f ca="1">MONTH(F1)</f>
        <v>3</v>
      </c>
    </row>
    <row r="4" spans="1:6" x14ac:dyDescent="0.25">
      <c r="A4" s="1" t="s">
        <v>3</v>
      </c>
      <c r="B4" s="1"/>
      <c r="C4" s="1"/>
      <c r="D4" s="1"/>
      <c r="E4" s="1"/>
      <c r="F4">
        <f ca="1">YEAR(F1)</f>
        <v>2026</v>
      </c>
    </row>
    <row r="5" spans="1:6" x14ac:dyDescent="0.25">
      <c r="A5" s="1" t="s">
        <v>4</v>
      </c>
      <c r="B5" s="1"/>
      <c r="C5" s="1"/>
      <c r="D5" s="1"/>
      <c r="E5" s="1"/>
      <c r="F5">
        <f ca="1">WEEKDAY(F1)</f>
        <v>2</v>
      </c>
    </row>
    <row r="7" spans="1:6" ht="21" x14ac:dyDescent="0.35">
      <c r="A7" s="2" t="s">
        <v>5</v>
      </c>
      <c r="B7" s="2"/>
      <c r="C7" s="2"/>
      <c r="D7" s="2"/>
      <c r="E7" s="2"/>
      <c r="F7" s="2"/>
    </row>
    <row r="8" spans="1:6" x14ac:dyDescent="0.25">
      <c r="A8" s="6" t="s">
        <v>6</v>
      </c>
      <c r="B8" s="7">
        <v>46111</v>
      </c>
    </row>
    <row r="10" spans="1:6" ht="30" x14ac:dyDescent="0.25">
      <c r="A10" s="4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</row>
    <row r="11" spans="1:6" x14ac:dyDescent="0.25">
      <c r="A11" s="9">
        <v>46111</v>
      </c>
      <c r="B11" s="10">
        <v>46111</v>
      </c>
      <c r="C11" s="3">
        <v>10</v>
      </c>
      <c r="D11" s="3">
        <v>20</v>
      </c>
      <c r="E11" s="3">
        <v>15</v>
      </c>
      <c r="F11" s="3">
        <f>C11+D11-E11</f>
        <v>15</v>
      </c>
    </row>
    <row r="12" spans="1:6" x14ac:dyDescent="0.25">
      <c r="A12" s="9">
        <v>46112</v>
      </c>
      <c r="B12" s="10">
        <v>46112</v>
      </c>
      <c r="C12" s="3">
        <f>F11</f>
        <v>15</v>
      </c>
      <c r="D12" s="3">
        <v>5</v>
      </c>
      <c r="E12" s="3">
        <v>20</v>
      </c>
      <c r="F12" s="3">
        <f t="shared" ref="F12:F34" si="0">C12+D12-E12</f>
        <v>0</v>
      </c>
    </row>
    <row r="13" spans="1:6" x14ac:dyDescent="0.25">
      <c r="A13" s="9">
        <v>46113</v>
      </c>
      <c r="B13" s="10">
        <v>46113</v>
      </c>
      <c r="C13" s="3">
        <f t="shared" ref="C13:C34" si="1">F12</f>
        <v>0</v>
      </c>
      <c r="D13" s="3">
        <v>10</v>
      </c>
      <c r="E13" s="3">
        <v>8</v>
      </c>
      <c r="F13" s="3">
        <f t="shared" si="0"/>
        <v>2</v>
      </c>
    </row>
    <row r="14" spans="1:6" x14ac:dyDescent="0.25">
      <c r="A14" s="9">
        <v>46114</v>
      </c>
      <c r="B14" s="10">
        <v>46114</v>
      </c>
      <c r="C14" s="3">
        <f t="shared" si="1"/>
        <v>2</v>
      </c>
      <c r="D14" s="3">
        <v>23</v>
      </c>
      <c r="E14" s="3">
        <v>20</v>
      </c>
      <c r="F14" s="3">
        <f t="shared" si="0"/>
        <v>5</v>
      </c>
    </row>
    <row r="15" spans="1:6" x14ac:dyDescent="0.25">
      <c r="A15" s="9">
        <v>46115</v>
      </c>
      <c r="B15" s="10">
        <v>46115</v>
      </c>
      <c r="C15" s="3">
        <f t="shared" si="1"/>
        <v>5</v>
      </c>
      <c r="D15" s="3">
        <v>25</v>
      </c>
      <c r="E15" s="3">
        <v>22</v>
      </c>
      <c r="F15" s="3">
        <f t="shared" si="0"/>
        <v>8</v>
      </c>
    </row>
    <row r="16" spans="1:6" x14ac:dyDescent="0.25">
      <c r="A16" s="9">
        <v>46118</v>
      </c>
      <c r="B16" s="10">
        <v>46118</v>
      </c>
      <c r="C16" s="3">
        <f t="shared" si="1"/>
        <v>8</v>
      </c>
      <c r="D16" s="3">
        <v>12</v>
      </c>
      <c r="E16" s="3">
        <v>10</v>
      </c>
      <c r="F16" s="3">
        <f t="shared" si="0"/>
        <v>10</v>
      </c>
    </row>
    <row r="17" spans="1:6" x14ac:dyDescent="0.25">
      <c r="A17" s="9">
        <v>46119</v>
      </c>
      <c r="B17" s="10">
        <v>46119</v>
      </c>
      <c r="C17" s="3">
        <f t="shared" si="1"/>
        <v>10</v>
      </c>
      <c r="D17" s="3">
        <v>20</v>
      </c>
      <c r="E17" s="3">
        <v>12</v>
      </c>
      <c r="F17" s="3">
        <f t="shared" si="0"/>
        <v>18</v>
      </c>
    </row>
    <row r="18" spans="1:6" x14ac:dyDescent="0.25">
      <c r="A18" s="9">
        <v>46120</v>
      </c>
      <c r="B18" s="10">
        <v>46120</v>
      </c>
      <c r="C18" s="3">
        <f t="shared" si="1"/>
        <v>18</v>
      </c>
      <c r="D18" s="3">
        <v>2</v>
      </c>
      <c r="E18" s="3">
        <v>15</v>
      </c>
      <c r="F18" s="3">
        <f t="shared" si="0"/>
        <v>5</v>
      </c>
    </row>
    <row r="19" spans="1:6" x14ac:dyDescent="0.25">
      <c r="A19" s="9">
        <v>46121</v>
      </c>
      <c r="B19" s="10">
        <v>46121</v>
      </c>
      <c r="C19" s="3">
        <f t="shared" si="1"/>
        <v>5</v>
      </c>
      <c r="D19" s="3">
        <v>13</v>
      </c>
      <c r="E19" s="3">
        <v>17</v>
      </c>
      <c r="F19" s="3">
        <f t="shared" si="0"/>
        <v>1</v>
      </c>
    </row>
    <row r="20" spans="1:6" x14ac:dyDescent="0.25">
      <c r="A20" s="9">
        <v>46122</v>
      </c>
      <c r="B20" s="10">
        <v>46122</v>
      </c>
      <c r="C20" s="3">
        <f t="shared" si="1"/>
        <v>1</v>
      </c>
      <c r="D20" s="3">
        <v>20</v>
      </c>
      <c r="E20" s="3">
        <v>15</v>
      </c>
      <c r="F20" s="3">
        <f t="shared" si="0"/>
        <v>6</v>
      </c>
    </row>
    <row r="21" spans="1:6" x14ac:dyDescent="0.25">
      <c r="A21" s="9">
        <v>46125</v>
      </c>
      <c r="B21" s="10">
        <v>46125</v>
      </c>
      <c r="C21" s="3">
        <f t="shared" si="1"/>
        <v>6</v>
      </c>
      <c r="D21" s="3">
        <v>22</v>
      </c>
      <c r="E21" s="3">
        <v>25</v>
      </c>
      <c r="F21" s="3">
        <f t="shared" si="0"/>
        <v>3</v>
      </c>
    </row>
    <row r="22" spans="1:6" x14ac:dyDescent="0.25">
      <c r="A22" s="9">
        <v>46126</v>
      </c>
      <c r="B22" s="10">
        <v>46126</v>
      </c>
      <c r="C22" s="3">
        <f t="shared" si="1"/>
        <v>3</v>
      </c>
      <c r="D22" s="3">
        <v>30</v>
      </c>
      <c r="E22" s="3">
        <v>24</v>
      </c>
      <c r="F22" s="3">
        <f t="shared" si="0"/>
        <v>9</v>
      </c>
    </row>
    <row r="23" spans="1:6" x14ac:dyDescent="0.25">
      <c r="A23" s="9">
        <v>46127</v>
      </c>
      <c r="B23" s="10">
        <v>46127</v>
      </c>
      <c r="C23" s="3">
        <f t="shared" si="1"/>
        <v>9</v>
      </c>
      <c r="D23" s="3">
        <v>45</v>
      </c>
      <c r="E23" s="3">
        <v>40</v>
      </c>
      <c r="F23" s="3">
        <f t="shared" si="0"/>
        <v>14</v>
      </c>
    </row>
    <row r="24" spans="1:6" x14ac:dyDescent="0.25">
      <c r="A24" s="9">
        <v>46128</v>
      </c>
      <c r="B24" s="10">
        <v>46128</v>
      </c>
      <c r="C24" s="3">
        <f t="shared" si="1"/>
        <v>14</v>
      </c>
      <c r="D24" s="3">
        <v>12</v>
      </c>
      <c r="E24" s="3">
        <v>25</v>
      </c>
      <c r="F24" s="3">
        <f t="shared" si="0"/>
        <v>1</v>
      </c>
    </row>
    <row r="25" spans="1:6" x14ac:dyDescent="0.25">
      <c r="A25" s="9">
        <v>46129</v>
      </c>
      <c r="B25" s="10">
        <v>46129</v>
      </c>
      <c r="C25" s="3">
        <f t="shared" si="1"/>
        <v>1</v>
      </c>
      <c r="D25" s="3">
        <v>20</v>
      </c>
      <c r="E25" s="3">
        <v>10</v>
      </c>
      <c r="F25" s="3">
        <f t="shared" si="0"/>
        <v>11</v>
      </c>
    </row>
    <row r="26" spans="1:6" x14ac:dyDescent="0.25">
      <c r="A26" s="9">
        <v>46132</v>
      </c>
      <c r="B26" s="10">
        <v>46132</v>
      </c>
      <c r="C26" s="3">
        <f t="shared" si="1"/>
        <v>11</v>
      </c>
      <c r="D26" s="3">
        <v>22</v>
      </c>
      <c r="E26" s="3">
        <v>25</v>
      </c>
      <c r="F26" s="3">
        <f t="shared" si="0"/>
        <v>8</v>
      </c>
    </row>
    <row r="27" spans="1:6" x14ac:dyDescent="0.25">
      <c r="A27" s="9">
        <v>46133</v>
      </c>
      <c r="B27" s="10">
        <v>46133</v>
      </c>
      <c r="C27" s="3">
        <f t="shared" si="1"/>
        <v>8</v>
      </c>
      <c r="D27" s="3">
        <v>25</v>
      </c>
      <c r="E27" s="3">
        <v>28</v>
      </c>
      <c r="F27" s="3">
        <f t="shared" si="0"/>
        <v>5</v>
      </c>
    </row>
    <row r="28" spans="1:6" x14ac:dyDescent="0.25">
      <c r="A28" s="9">
        <v>46134</v>
      </c>
      <c r="B28" s="10">
        <v>46134</v>
      </c>
      <c r="C28" s="3">
        <f t="shared" si="1"/>
        <v>5</v>
      </c>
      <c r="D28" s="3">
        <v>16</v>
      </c>
      <c r="E28" s="3">
        <v>21</v>
      </c>
      <c r="F28" s="3">
        <f t="shared" si="0"/>
        <v>0</v>
      </c>
    </row>
    <row r="29" spans="1:6" x14ac:dyDescent="0.25">
      <c r="A29" s="9">
        <v>46135</v>
      </c>
      <c r="B29" s="10">
        <v>46135</v>
      </c>
      <c r="C29" s="3">
        <f t="shared" si="1"/>
        <v>0</v>
      </c>
      <c r="D29" s="3">
        <v>35</v>
      </c>
      <c r="E29" s="3">
        <v>28</v>
      </c>
      <c r="F29" s="3">
        <f t="shared" si="0"/>
        <v>7</v>
      </c>
    </row>
    <row r="30" spans="1:6" x14ac:dyDescent="0.25">
      <c r="A30" s="9">
        <v>46136</v>
      </c>
      <c r="B30" s="10">
        <v>46136</v>
      </c>
      <c r="C30" s="3">
        <f t="shared" si="1"/>
        <v>7</v>
      </c>
      <c r="D30" s="3">
        <v>13</v>
      </c>
      <c r="E30" s="3">
        <v>15</v>
      </c>
      <c r="F30" s="3">
        <f t="shared" si="0"/>
        <v>5</v>
      </c>
    </row>
    <row r="31" spans="1:6" x14ac:dyDescent="0.25">
      <c r="A31" s="9">
        <v>46139</v>
      </c>
      <c r="B31" s="10">
        <v>46139</v>
      </c>
      <c r="C31" s="3">
        <f t="shared" si="1"/>
        <v>5</v>
      </c>
      <c r="D31" s="3">
        <v>25</v>
      </c>
      <c r="E31" s="3">
        <v>15</v>
      </c>
      <c r="F31" s="3">
        <f t="shared" si="0"/>
        <v>15</v>
      </c>
    </row>
    <row r="32" spans="1:6" x14ac:dyDescent="0.25">
      <c r="A32" s="9">
        <v>46140</v>
      </c>
      <c r="B32" s="10">
        <v>46140</v>
      </c>
      <c r="C32" s="3">
        <f t="shared" si="1"/>
        <v>15</v>
      </c>
      <c r="D32" s="3">
        <v>15</v>
      </c>
      <c r="E32" s="11">
        <v>15</v>
      </c>
      <c r="F32" s="3">
        <f t="shared" si="0"/>
        <v>15</v>
      </c>
    </row>
    <row r="33" spans="1:6" x14ac:dyDescent="0.25">
      <c r="A33" s="9">
        <v>46141</v>
      </c>
      <c r="B33" s="10">
        <v>46141</v>
      </c>
      <c r="C33" s="3">
        <f t="shared" si="1"/>
        <v>15</v>
      </c>
      <c r="D33" s="3">
        <v>15</v>
      </c>
      <c r="E33" s="11">
        <v>15</v>
      </c>
      <c r="F33" s="3">
        <f t="shared" si="0"/>
        <v>15</v>
      </c>
    </row>
    <row r="34" spans="1:6" x14ac:dyDescent="0.25">
      <c r="A34" s="9">
        <v>46142</v>
      </c>
      <c r="B34" s="10">
        <v>46142</v>
      </c>
      <c r="C34" s="3">
        <f t="shared" si="1"/>
        <v>15</v>
      </c>
      <c r="D34" s="3">
        <v>15</v>
      </c>
      <c r="E34" s="11">
        <v>15</v>
      </c>
      <c r="F34" s="3">
        <f t="shared" si="0"/>
        <v>15</v>
      </c>
    </row>
    <row r="35" spans="1:6" x14ac:dyDescent="0.25">
      <c r="A35" s="12"/>
    </row>
  </sheetData>
  <mergeCells count="6">
    <mergeCell ref="A1:E1"/>
    <mergeCell ref="A2:E2"/>
    <mergeCell ref="A3:E3"/>
    <mergeCell ref="A4:E4"/>
    <mergeCell ref="A5:E5"/>
    <mergeCell ref="A7:F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4686-7A33-4696-B0EB-7058716A2F9A}">
  <dimension ref="A1"/>
  <sheetViews>
    <sheetView workbookViewId="0">
      <selection activeCell="B4" sqref="B4"/>
    </sheetView>
  </sheetViews>
  <sheetFormatPr defaultRowHeight="15" x14ac:dyDescent="0.25"/>
  <cols>
    <col min="1" max="1" width="18.140625" customWidth="1"/>
  </cols>
  <sheetData>
    <row r="1" spans="1:1" x14ac:dyDescent="0.25">
      <c r="A1" s="8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2026-03-30T16:25:52Z</dcterms:created>
  <dcterms:modified xsi:type="dcterms:W3CDTF">2026-03-30T18:04:13Z</dcterms:modified>
</cp:coreProperties>
</file>